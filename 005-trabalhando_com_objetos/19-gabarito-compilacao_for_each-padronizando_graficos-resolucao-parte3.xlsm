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3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4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6.xml" ContentType="application/vnd.openxmlformats-officedocument.drawing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601" codeName="{AE6600E7-7A62-396C-DE95-9942FA9DD81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jharbes\Documents\GitHub\hashtagVba\005-trabalhando_com_objetos\"/>
    </mc:Choice>
  </mc:AlternateContent>
  <xr:revisionPtr revIDLastSave="0" documentId="13_ncr:1_{9E1DE63B-2566-4E0C-A879-36CFCB631C89}" xr6:coauthVersionLast="47" xr6:coauthVersionMax="47" xr10:uidLastSave="{00000000-0000-0000-0000-000000000000}"/>
  <bookViews>
    <workbookView xWindow="14250" yWindow="600" windowWidth="18900" windowHeight="11055" xr2:uid="{00000000-000D-0000-FFFF-FFFF00000000}"/>
  </bookViews>
  <sheets>
    <sheet name="Base Vendas" sheetId="2" r:id="rId1"/>
    <sheet name="Controle Extrações" sheetId="3" r:id="rId2"/>
    <sheet name="Base Funcionários" sheetId="1" r:id="rId3"/>
    <sheet name="Planilha Vendas" sheetId="4" r:id="rId4"/>
    <sheet name="Análise" sheetId="6" r:id="rId5"/>
    <sheet name="SKUs" sheetId="7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<sst xmlns="http://schemas.openxmlformats.org/spreadsheetml/2006/main" count="207" uniqueCount="87">
  <si>
    <t>Descrição</t>
  </si>
  <si>
    <t>Unidades</t>
  </si>
  <si>
    <t>Litros</t>
  </si>
  <si>
    <t>Perda</t>
  </si>
  <si>
    <t>Origem</t>
  </si>
  <si>
    <t>SKU 1</t>
  </si>
  <si>
    <t>Nacional</t>
  </si>
  <si>
    <t>SKU 2</t>
  </si>
  <si>
    <t>Importado</t>
  </si>
  <si>
    <t>SKU 3</t>
  </si>
  <si>
    <t>SKU 4</t>
  </si>
  <si>
    <t>SKU 5</t>
  </si>
  <si>
    <t>SKU 6</t>
  </si>
  <si>
    <t>SKU 7</t>
  </si>
  <si>
    <t>SKU 8</t>
  </si>
  <si>
    <t>SKU 9</t>
  </si>
  <si>
    <t>SKU 10</t>
  </si>
  <si>
    <t>SKU 11</t>
  </si>
  <si>
    <t>SKU 12</t>
  </si>
  <si>
    <t>SKU 13</t>
  </si>
  <si>
    <t>SKU 14</t>
  </si>
  <si>
    <t>SKU 15</t>
  </si>
  <si>
    <t>SKU 16</t>
  </si>
  <si>
    <t>SKU 17</t>
  </si>
  <si>
    <t>SKU 18</t>
  </si>
  <si>
    <t>SKU 19</t>
  </si>
  <si>
    <t>SKU 20</t>
  </si>
  <si>
    <t>SKU 21</t>
  </si>
  <si>
    <t>SKU 22</t>
  </si>
  <si>
    <t>SKU 23</t>
  </si>
  <si>
    <t>SKU 24</t>
  </si>
  <si>
    <t>SKU 25</t>
  </si>
  <si>
    <t>SKU 26</t>
  </si>
  <si>
    <t>SKU 27</t>
  </si>
  <si>
    <t>SKU 28</t>
  </si>
  <si>
    <t>SKU 29</t>
  </si>
  <si>
    <t>SKU 30</t>
  </si>
  <si>
    <t>SKU 31</t>
  </si>
  <si>
    <t>SKU 32</t>
  </si>
  <si>
    <t>SKU 33</t>
  </si>
  <si>
    <t>SKU 34</t>
  </si>
  <si>
    <t>SKU 35</t>
  </si>
  <si>
    <t>SKU 36</t>
  </si>
  <si>
    <t>SKU 37</t>
  </si>
  <si>
    <t>SKU 38</t>
  </si>
  <si>
    <t>SKU 39</t>
  </si>
  <si>
    <t>SKU 40</t>
  </si>
  <si>
    <t>Cargo</t>
  </si>
  <si>
    <t>Salário</t>
  </si>
  <si>
    <t>Analista Senior</t>
  </si>
  <si>
    <t>Analista Júnior</t>
  </si>
  <si>
    <t>Data</t>
  </si>
  <si>
    <t>Plataforma</t>
  </si>
  <si>
    <t>Empresa</t>
  </si>
  <si>
    <t>Volume</t>
  </si>
  <si>
    <t>CSP</t>
  </si>
  <si>
    <t>Empresa 4</t>
  </si>
  <si>
    <t>CPY</t>
  </si>
  <si>
    <t>Empresa 3</t>
  </si>
  <si>
    <t>CAR</t>
  </si>
  <si>
    <t>CMB</t>
  </si>
  <si>
    <t>Grife</t>
  </si>
  <si>
    <t>Marca</t>
  </si>
  <si>
    <t>Faturado</t>
  </si>
  <si>
    <t>Valor de venda</t>
  </si>
  <si>
    <t>Reserva</t>
  </si>
  <si>
    <t>Hashtag</t>
  </si>
  <si>
    <t>Osklen</t>
  </si>
  <si>
    <t>Janeiro</t>
  </si>
  <si>
    <t>Fevereiro</t>
  </si>
  <si>
    <t>Março</t>
  </si>
  <si>
    <t>Coordenador</t>
  </si>
  <si>
    <t>Gerente</t>
  </si>
  <si>
    <t>Estagiário</t>
  </si>
  <si>
    <t>Sabom Paes Leme</t>
  </si>
  <si>
    <t>Lira Batom</t>
  </si>
  <si>
    <t>Sombras Ivo's</t>
  </si>
  <si>
    <t>Martins Shampoo</t>
  </si>
  <si>
    <t>Gasto</t>
  </si>
  <si>
    <t>Valor</t>
  </si>
  <si>
    <t>Folha salarial</t>
  </si>
  <si>
    <t>Impostos</t>
  </si>
  <si>
    <t>Luz</t>
  </si>
  <si>
    <t>Água</t>
  </si>
  <si>
    <t>Telefone</t>
  </si>
  <si>
    <t>Processos</t>
  </si>
  <si>
    <t>Hering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</si>
</sst>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&quot;R$&quot;\ #,##0;\-&quot;R$&quot;\ #,##0"/>
    <numFmt numFmtId="165" formatCode="&quot;R$&quot;#,##0"/>
    <numFmt numFmtId="166" formatCode="&quot;R$&quot;\ #,##0"/>
    <numFmt numFmtId="167" formatCode="&quot;R$&quot;\ #,##0.00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rgb="FFFFC00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Arial"/>
      <family val="2"/>
    </font>
    <font>
      <b/>
      <sz val="10"/>
      <color indexed="9"/>
      <name val="Calibri"/>
      <family val="2"/>
      <scheme val="minor"/>
    </font>
    <font>
      <sz val="1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indexed="52"/>
        <bgColor indexed="9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D24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8"/>
      </right>
      <top style="medium">
        <color indexed="64"/>
      </top>
      <bottom/>
      <diagonal/>
    </border>
    <border>
      <left style="thin">
        <color indexed="8"/>
      </left>
      <right style="thin">
        <color indexed="8"/>
      </right>
      <top style="medium">
        <color indexed="64"/>
      </top>
      <bottom/>
      <diagonal/>
    </border>
    <border>
      <left style="thin">
        <color indexed="8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5">
    <xf numFmtId="0" fontId="0" fillId="0" borderId="0"/>
    <xf numFmtId="0" fontId="4" fillId="0" borderId="0"/>
    <xf numFmtId="0" fontId="4" fillId="0" borderId="0">
      <alignment vertical="top"/>
    </xf>
    <xf numFmtId="0" fontId="4" fillId="0" borderId="0"/>
    <xf numFmtId="0" fontId="4" fillId="0" borderId="0"/>
  </cellStyleXfs>
  <cellXfs count="34">
    <xf numFmtId="0" fontId="0" fillId="0" borderId="0" xfId="0"/>
    <xf numFmtId="0" fontId="2" fillId="2" borderId="1" xfId="0" applyFont="1" applyFill="1" applyBorder="1" applyAlignment="1">
      <alignment horizontal="left"/>
    </xf>
    <xf numFmtId="0" fontId="0" fillId="0" borderId="1" xfId="0" applyBorder="1" applyAlignment="1">
      <alignment horizontal="left"/>
    </xf>
    <xf numFmtId="1" fontId="0" fillId="0" borderId="1" xfId="0" applyNumberFormat="1" applyBorder="1" applyAlignment="1">
      <alignment horizontal="left"/>
    </xf>
    <xf numFmtId="0" fontId="1" fillId="3" borderId="1" xfId="0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165" fontId="0" fillId="0" borderId="1" xfId="0" applyNumberFormat="1" applyBorder="1" applyAlignment="1">
      <alignment horizontal="center"/>
    </xf>
    <xf numFmtId="49" fontId="5" fillId="4" borderId="2" xfId="1" applyNumberFormat="1" applyFont="1" applyFill="1" applyBorder="1" applyAlignment="1">
      <alignment horizontal="center" vertical="center"/>
    </xf>
    <xf numFmtId="49" fontId="5" fillId="4" borderId="3" xfId="1" applyNumberFormat="1" applyFont="1" applyFill="1" applyBorder="1" applyAlignment="1">
      <alignment horizontal="center" vertical="center"/>
    </xf>
    <xf numFmtId="0" fontId="5" fillId="4" borderId="4" xfId="1" applyFont="1" applyFill="1" applyBorder="1" applyAlignment="1">
      <alignment horizontal="center" vertical="center" wrapText="1"/>
    </xf>
    <xf numFmtId="14" fontId="6" fillId="5" borderId="5" xfId="2" applyNumberFormat="1" applyFont="1" applyFill="1" applyBorder="1" applyAlignment="1">
      <alignment horizontal="center" vertical="center"/>
    </xf>
    <xf numFmtId="0" fontId="6" fillId="5" borderId="6" xfId="2" applyFont="1" applyFill="1" applyBorder="1" applyAlignment="1">
      <alignment horizontal="center" vertical="center"/>
    </xf>
    <xf numFmtId="3" fontId="6" fillId="5" borderId="7" xfId="2" applyNumberFormat="1" applyFont="1" applyFill="1" applyBorder="1" applyAlignment="1">
      <alignment horizontal="center" vertical="center"/>
    </xf>
    <xf numFmtId="14" fontId="6" fillId="5" borderId="8" xfId="2" applyNumberFormat="1" applyFont="1" applyFill="1" applyBorder="1" applyAlignment="1">
      <alignment horizontal="center" vertical="center"/>
    </xf>
    <xf numFmtId="0" fontId="6" fillId="5" borderId="9" xfId="2" applyFont="1" applyFill="1" applyBorder="1" applyAlignment="1">
      <alignment horizontal="center" vertical="center"/>
    </xf>
    <xf numFmtId="3" fontId="6" fillId="5" borderId="10" xfId="2" applyNumberFormat="1" applyFont="1" applyFill="1" applyBorder="1" applyAlignment="1">
      <alignment horizontal="center" vertical="center"/>
    </xf>
    <xf numFmtId="0" fontId="6" fillId="0" borderId="1" xfId="3" applyFont="1" applyBorder="1" applyAlignment="1" applyProtection="1">
      <alignment horizontal="left"/>
      <protection hidden="1"/>
    </xf>
    <xf numFmtId="166" fontId="3" fillId="0" borderId="1" xfId="0" applyNumberFormat="1" applyFont="1" applyBorder="1"/>
    <xf numFmtId="0" fontId="7" fillId="6" borderId="1" xfId="0" applyFont="1" applyFill="1" applyBorder="1"/>
    <xf numFmtId="0" fontId="0" fillId="0" borderId="0" xfId="0" applyAlignment="1"/>
    <xf numFmtId="0" fontId="0" fillId="0" borderId="0" xfId="0" applyBorder="1" applyAlignment="1">
      <alignment horizontal="left"/>
    </xf>
    <xf numFmtId="14" fontId="0" fillId="0" borderId="0" xfId="0" applyNumberFormat="1"/>
    <xf numFmtId="17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0" fillId="9" borderId="1" xfId="0" applyFill="1" applyBorder="1" applyAlignment="1">
      <alignment horizontal="left"/>
    </xf>
    <xf numFmtId="0" fontId="0" fillId="9" borderId="1" xfId="0" applyFill="1" applyBorder="1" applyAlignment="1">
      <alignment horizontal="center"/>
    </xf>
    <xf numFmtId="164" fontId="0" fillId="0" borderId="1" xfId="0" applyNumberFormat="1" applyBorder="1" applyAlignment="1">
      <alignment horizontal="center"/>
    </xf>
    <xf numFmtId="0" fontId="0" fillId="0" borderId="0" xfId="0" applyProtection="1">
      <protection locked="0"/>
    </xf>
    <xf numFmtId="164" fontId="0" fillId="0" borderId="0" xfId="0" applyNumberFormat="1" applyBorder="1" applyAlignment="1">
      <alignment horizontal="center"/>
    </xf>
    <xf numFmtId="0" fontId="1" fillId="8" borderId="1" xfId="3" applyFont="1" applyFill="1" applyBorder="1" applyAlignment="1" applyProtection="1">
      <alignment horizontal="left" vertical="center"/>
      <protection hidden="1"/>
    </xf>
    <xf numFmtId="0" fontId="8" fillId="7" borderId="1" xfId="3" applyFont="1" applyFill="1" applyBorder="1" applyAlignment="1" applyProtection="1">
      <alignment horizontal="left"/>
      <protection hidden="1"/>
    </xf>
    <xf numFmtId="167" fontId="8" fillId="7" borderId="1" xfId="3" applyNumberFormat="1" applyFont="1" applyFill="1" applyBorder="1" applyAlignment="1" applyProtection="1">
      <alignment horizontal="left"/>
      <protection hidden="1"/>
    </xf>
    <xf numFmtId="0" fontId="0" fillId="0" borderId="0" xfId="0" applyBorder="1" applyAlignment="1">
      <alignment horizontal="center"/>
    </xf>
    <xf numFmtId="0" fontId="0" fillId="0" borderId="11" xfId="0" applyBorder="1" applyAlignment="1">
      <alignment horizontal="center"/>
    </xf>
  </cellXfs>
  <cellStyles count="5">
    <cellStyle name="Cancel 14" xfId="4" xr:uid="{9DCE4A04-A5E6-42B0-92CC-D21B64928065}"/>
    <cellStyle name="Cancel 2" xfId="3" xr:uid="{CC423FB2-E001-4F87-B2D5-F7B95A36923F}"/>
    <cellStyle name="Normal" xfId="0" builtinId="0"/>
    <cellStyle name="Normal 11" xfId="1" xr:uid="{FEE93A66-3930-46F3-A89C-BBF7A505A277}"/>
    <cellStyle name="Normal 2" xfId="2" xr:uid="{897D09D1-22B9-4DBE-AC0C-B26F65FC9B54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'Base Vendas'!$B$1</c:f>
              <c:strCache>
                <c:ptCount val="1"/>
                <c:pt idx="0">
                  <c:v>Unidades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'Base Vendas'!$A$2:$A$11</c:f>
              <c:strCache>
                <c:ptCount val="10"/>
                <c:pt idx="0">
                  <c:v>SKU 1</c:v>
                </c:pt>
                <c:pt idx="1">
                  <c:v>SKU 2</c:v>
                </c:pt>
                <c:pt idx="2">
                  <c:v>SKU 3</c:v>
                </c:pt>
                <c:pt idx="3">
                  <c:v>SKU 4</c:v>
                </c:pt>
                <c:pt idx="4">
                  <c:v>SKU 5</c:v>
                </c:pt>
                <c:pt idx="5">
                  <c:v>SKU 6</c:v>
                </c:pt>
                <c:pt idx="6">
                  <c:v>SKU 7</c:v>
                </c:pt>
                <c:pt idx="7">
                  <c:v>SKU 8</c:v>
                </c:pt>
                <c:pt idx="8">
                  <c:v>SKU 9</c:v>
                </c:pt>
                <c:pt idx="9">
                  <c:v>SKU 10</c:v>
                </c:pt>
              </c:strCache>
            </c:strRef>
          </c:cat>
          <c:val>
            <c:numRef>
              <c:f>'Base Vendas'!$B$2:$B$11</c:f>
              <c:numCache>
                <c:formatCode>General</c:formatCode>
                <c:ptCount val="10"/>
                <c:pt idx="0">
                  <c:v>785</c:v>
                </c:pt>
                <c:pt idx="1">
                  <c:v>558</c:v>
                </c:pt>
                <c:pt idx="2">
                  <c:v>851</c:v>
                </c:pt>
                <c:pt idx="3">
                  <c:v>587</c:v>
                </c:pt>
                <c:pt idx="4">
                  <c:v>396</c:v>
                </c:pt>
                <c:pt idx="5">
                  <c:v>113</c:v>
                </c:pt>
                <c:pt idx="6">
                  <c:v>364</c:v>
                </c:pt>
                <c:pt idx="7">
                  <c:v>1000</c:v>
                </c:pt>
                <c:pt idx="8">
                  <c:v>607</c:v>
                </c:pt>
                <c:pt idx="9">
                  <c:v>135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CF4-4064-A25B-E59762566A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35290463"/>
        <c:axId val="1529051615"/>
      </c:barChart>
      <c:catAx>
        <c:axId val="15352904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29051615"/>
        <c:crosses val="autoZero"/>
        <c:auto val="1"/>
        <c:lblAlgn val="ctr"/>
        <c:lblOffset val="100"/>
        <c:noMultiLvlLbl val="0"/>
      </c:catAx>
      <c:valAx>
        <c:axId val="1529051615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3529046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4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'Base Vendas'!$I$1</c:f>
              <c:strCache>
                <c:ptCount val="1"/>
                <c:pt idx="0">
                  <c:v>Unidades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'Base Vendas'!$H$2:$H$11</c:f>
              <c:strCache>
                <c:ptCount val="10"/>
                <c:pt idx="0">
                  <c:v>SKU 11</c:v>
                </c:pt>
                <c:pt idx="1">
                  <c:v>SKU 12</c:v>
                </c:pt>
                <c:pt idx="2">
                  <c:v>SKU 13</c:v>
                </c:pt>
                <c:pt idx="3">
                  <c:v>SKU 14</c:v>
                </c:pt>
                <c:pt idx="4">
                  <c:v>SKU 15</c:v>
                </c:pt>
                <c:pt idx="5">
                  <c:v>SKU 16</c:v>
                </c:pt>
                <c:pt idx="6">
                  <c:v>SKU 17</c:v>
                </c:pt>
                <c:pt idx="7">
                  <c:v>SKU 18</c:v>
                </c:pt>
                <c:pt idx="8">
                  <c:v>SKU 19</c:v>
                </c:pt>
                <c:pt idx="9">
                  <c:v>SKU 20</c:v>
                </c:pt>
              </c:strCache>
            </c:strRef>
          </c:cat>
          <c:val>
            <c:numRef>
              <c:f>'Base Vendas'!$I$2:$I$11</c:f>
              <c:numCache>
                <c:formatCode>General</c:formatCode>
                <c:ptCount val="10"/>
                <c:pt idx="0">
                  <c:v>463</c:v>
                </c:pt>
                <c:pt idx="1">
                  <c:v>853</c:v>
                </c:pt>
                <c:pt idx="2">
                  <c:v>629</c:v>
                </c:pt>
                <c:pt idx="3">
                  <c:v>649</c:v>
                </c:pt>
                <c:pt idx="4">
                  <c:v>791</c:v>
                </c:pt>
                <c:pt idx="5">
                  <c:v>153</c:v>
                </c:pt>
                <c:pt idx="6">
                  <c:v>593</c:v>
                </c:pt>
                <c:pt idx="7">
                  <c:v>564</c:v>
                </c:pt>
                <c:pt idx="8">
                  <c:v>207</c:v>
                </c:pt>
                <c:pt idx="9">
                  <c:v>530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8B-4077-ABB5-CAFDD28775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53208719"/>
        <c:axId val="1529074079"/>
      </c:barChart>
      <c:catAx>
        <c:axId val="165320871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29074079"/>
        <c:crosses val="autoZero"/>
        <c:auto val="1"/>
        <c:lblAlgn val="ctr"/>
        <c:lblOffset val="100"/>
        <c:noMultiLvlLbl val="0"/>
      </c:catAx>
      <c:valAx>
        <c:axId val="152907407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5320871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4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'Base Vendas'!$Q$1</c:f>
              <c:strCache>
                <c:ptCount val="1"/>
                <c:pt idx="0">
                  <c:v>Unidades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'Base Vendas'!$P$2:$P$11</c:f>
              <c:strCache>
                <c:ptCount val="10"/>
                <c:pt idx="0">
                  <c:v>SKU 21</c:v>
                </c:pt>
                <c:pt idx="1">
                  <c:v>SKU 22</c:v>
                </c:pt>
                <c:pt idx="2">
                  <c:v>SKU 23</c:v>
                </c:pt>
                <c:pt idx="3">
                  <c:v>SKU 24</c:v>
                </c:pt>
                <c:pt idx="4">
                  <c:v>SKU 25</c:v>
                </c:pt>
                <c:pt idx="5">
                  <c:v>SKU 26</c:v>
                </c:pt>
                <c:pt idx="6">
                  <c:v>SKU 27</c:v>
                </c:pt>
                <c:pt idx="7">
                  <c:v>SKU 28</c:v>
                </c:pt>
                <c:pt idx="8">
                  <c:v>SKU 29</c:v>
                </c:pt>
                <c:pt idx="9">
                  <c:v>SKU 30</c:v>
                </c:pt>
              </c:strCache>
            </c:strRef>
          </c:cat>
          <c:val>
            <c:numRef>
              <c:f>'Base Vendas'!$Q$2:$Q$11</c:f>
              <c:numCache>
                <c:formatCode>General</c:formatCode>
                <c:ptCount val="10"/>
                <c:pt idx="0">
                  <c:v>316</c:v>
                </c:pt>
                <c:pt idx="1">
                  <c:v>882</c:v>
                </c:pt>
                <c:pt idx="2">
                  <c:v>237</c:v>
                </c:pt>
                <c:pt idx="3">
                  <c:v>116</c:v>
                </c:pt>
                <c:pt idx="4">
                  <c:v>818</c:v>
                </c:pt>
                <c:pt idx="5">
                  <c:v>428</c:v>
                </c:pt>
                <c:pt idx="6">
                  <c:v>107</c:v>
                </c:pt>
                <c:pt idx="7">
                  <c:v>645</c:v>
                </c:pt>
                <c:pt idx="8">
                  <c:v>648</c:v>
                </c:pt>
                <c:pt idx="9">
                  <c:v>565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D1D-4F29-9E72-26FB80B265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37558079"/>
        <c:axId val="1653523071"/>
      </c:barChart>
      <c:catAx>
        <c:axId val="15375580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53523071"/>
        <c:crosses val="autoZero"/>
        <c:auto val="1"/>
        <c:lblAlgn val="ctr"/>
        <c:lblOffset val="100"/>
        <c:noMultiLvlLbl val="0"/>
      </c:catAx>
      <c:valAx>
        <c:axId val="16535230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375580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4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'Base Vendas'!$Y$1</c:f>
              <c:strCache>
                <c:ptCount val="1"/>
                <c:pt idx="0">
                  <c:v>Unidades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'Base Vendas'!$X$2:$X$11</c:f>
              <c:strCache>
                <c:ptCount val="10"/>
                <c:pt idx="0">
                  <c:v>SKU 31</c:v>
                </c:pt>
                <c:pt idx="1">
                  <c:v>SKU 32</c:v>
                </c:pt>
                <c:pt idx="2">
                  <c:v>SKU 33</c:v>
                </c:pt>
                <c:pt idx="3">
                  <c:v>SKU 34</c:v>
                </c:pt>
                <c:pt idx="4">
                  <c:v>SKU 35</c:v>
                </c:pt>
                <c:pt idx="5">
                  <c:v>SKU 36</c:v>
                </c:pt>
                <c:pt idx="6">
                  <c:v>SKU 37</c:v>
                </c:pt>
                <c:pt idx="7">
                  <c:v>SKU 38</c:v>
                </c:pt>
                <c:pt idx="8">
                  <c:v>SKU 39</c:v>
                </c:pt>
                <c:pt idx="9">
                  <c:v>SKU 40</c:v>
                </c:pt>
              </c:strCache>
            </c:strRef>
          </c:cat>
          <c:val>
            <c:numRef>
              <c:f>'Base Vendas'!$Y$2:$Y$11</c:f>
              <c:numCache>
                <c:formatCode>General</c:formatCode>
                <c:ptCount val="10"/>
                <c:pt idx="0">
                  <c:v>810</c:v>
                </c:pt>
                <c:pt idx="1">
                  <c:v>722</c:v>
                </c:pt>
                <c:pt idx="2">
                  <c:v>120</c:v>
                </c:pt>
                <c:pt idx="3">
                  <c:v>843</c:v>
                </c:pt>
                <c:pt idx="4">
                  <c:v>559</c:v>
                </c:pt>
                <c:pt idx="5">
                  <c:v>281</c:v>
                </c:pt>
                <c:pt idx="6">
                  <c:v>104</c:v>
                </c:pt>
                <c:pt idx="7">
                  <c:v>911</c:v>
                </c:pt>
                <c:pt idx="8">
                  <c:v>987</c:v>
                </c:pt>
                <c:pt idx="9">
                  <c:v>602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95D-4615-875C-B64EA924B3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59748447"/>
        <c:axId val="1653532223"/>
      </c:barChart>
      <c:catAx>
        <c:axId val="165974844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53532223"/>
        <c:crosses val="autoZero"/>
        <c:auto val="1"/>
        <c:lblAlgn val="ctr"/>
        <c:lblOffset val="100"/>
        <c:noMultiLvlLbl val="0"/>
      </c:catAx>
      <c:valAx>
        <c:axId val="1653532223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5974844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4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'Controle Extrações'!$D$2</c:f>
              <c:strCache>
                <c:ptCount val="1"/>
                <c:pt idx="0">
                  <c:v>Volume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'Controle Extrações'!$B$3:$B$8</c:f>
              <c:strCache>
                <c:ptCount val="6"/>
                <c:pt idx="0">
                  <c:v>CSP</c:v>
                </c:pt>
                <c:pt idx="1">
                  <c:v>CPY</c:v>
                </c:pt>
                <c:pt idx="2">
                  <c:v>CAR</c:v>
                </c:pt>
                <c:pt idx="3">
                  <c:v>CMB</c:v>
                </c:pt>
                <c:pt idx="4">
                  <c:v>CSP</c:v>
                </c:pt>
                <c:pt idx="5">
                  <c:v>CAR</c:v>
                </c:pt>
              </c:strCache>
            </c:strRef>
          </c:cat>
          <c:val>
            <c:numRef>
              <c:f>'Controle Extrações'!$D$3:$D$8</c:f>
              <c:numCache>
                <c:formatCode>#,##0</c:formatCode>
                <c:ptCount val="6"/>
                <c:pt idx="0">
                  <c:v>638894</c:v>
                </c:pt>
                <c:pt idx="1">
                  <c:v>495728</c:v>
                </c:pt>
                <c:pt idx="2">
                  <c:v>735907</c:v>
                </c:pt>
                <c:pt idx="3">
                  <c:v>726195</c:v>
                </c:pt>
                <c:pt idx="4">
                  <c:v>606957</c:v>
                </c:pt>
                <c:pt idx="5">
                  <c:v>603465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E5B-4376-BEBE-2B4D40C897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89825519"/>
        <c:axId val="1305640127"/>
      </c:barChart>
      <c:catAx>
        <c:axId val="148982551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05640127"/>
        <c:crosses val="autoZero"/>
        <c:auto val="1"/>
        <c:lblAlgn val="ctr"/>
        <c:lblOffset val="100"/>
        <c:noMultiLvlLbl val="0"/>
      </c:catAx>
      <c:valAx>
        <c:axId val="1305640127"/>
        <c:scaling>
          <c:orientation val="minMax"/>
          <c:min val="300000"/>
        </c:scaling>
        <c:delete val="0"/>
        <c:axPos val="l"/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8982551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4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'Controle Extrações'!$J$2</c:f>
              <c:strCache>
                <c:ptCount val="1"/>
                <c:pt idx="0">
                  <c:v>Volume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'Controle Extrações'!$H$3:$H$8</c:f>
              <c:strCache>
                <c:ptCount val="6"/>
                <c:pt idx="0">
                  <c:v>CSP</c:v>
                </c:pt>
                <c:pt idx="1">
                  <c:v>CPY</c:v>
                </c:pt>
                <c:pt idx="2">
                  <c:v>CAR</c:v>
                </c:pt>
                <c:pt idx="3">
                  <c:v>CMB</c:v>
                </c:pt>
                <c:pt idx="4">
                  <c:v>CSP</c:v>
                </c:pt>
                <c:pt idx="5">
                  <c:v>CAR</c:v>
                </c:pt>
              </c:strCache>
            </c:strRef>
          </c:cat>
          <c:val>
            <c:numRef>
              <c:f>'Controle Extrações'!$J$3:$J$8</c:f>
              <c:numCache>
                <c:formatCode>#,##0</c:formatCode>
                <c:ptCount val="6"/>
                <c:pt idx="0">
                  <c:v>588169</c:v>
                </c:pt>
                <c:pt idx="1">
                  <c:v>531546</c:v>
                </c:pt>
                <c:pt idx="2">
                  <c:v>588785</c:v>
                </c:pt>
                <c:pt idx="3">
                  <c:v>449306</c:v>
                </c:pt>
                <c:pt idx="4">
                  <c:v>588246</c:v>
                </c:pt>
                <c:pt idx="5">
                  <c:v>621544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173-40D8-882C-4E6A1B4C1C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89827119"/>
        <c:axId val="1486748639"/>
      </c:barChart>
      <c:catAx>
        <c:axId val="148982711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86748639"/>
        <c:crosses val="autoZero"/>
        <c:auto val="1"/>
        <c:lblAlgn val="ctr"/>
        <c:lblOffset val="100"/>
        <c:noMultiLvlLbl val="0"/>
      </c:catAx>
      <c:valAx>
        <c:axId val="1486748639"/>
        <c:scaling>
          <c:orientation val="minMax"/>
          <c:min val="300000"/>
        </c:scaling>
        <c:delete val="0"/>
        <c:axPos val="l"/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8982711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4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'Controle Extrações'!$P$2</c:f>
              <c:strCache>
                <c:ptCount val="1"/>
                <c:pt idx="0">
                  <c:v>Volume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'Controle Extrações'!$N$3:$N$8</c:f>
              <c:strCache>
                <c:ptCount val="6"/>
                <c:pt idx="0">
                  <c:v>CSP</c:v>
                </c:pt>
                <c:pt idx="1">
                  <c:v>CPY</c:v>
                </c:pt>
                <c:pt idx="2">
                  <c:v>CAR</c:v>
                </c:pt>
                <c:pt idx="3">
                  <c:v>CMB</c:v>
                </c:pt>
                <c:pt idx="4">
                  <c:v>CSP</c:v>
                </c:pt>
                <c:pt idx="5">
                  <c:v>CAR</c:v>
                </c:pt>
              </c:strCache>
            </c:strRef>
          </c:cat>
          <c:val>
            <c:numRef>
              <c:f>'Controle Extrações'!$P$3:$P$8</c:f>
              <c:numCache>
                <c:formatCode>#,##0</c:formatCode>
                <c:ptCount val="6"/>
                <c:pt idx="0">
                  <c:v>504622</c:v>
                </c:pt>
                <c:pt idx="1">
                  <c:v>637802</c:v>
                </c:pt>
                <c:pt idx="2">
                  <c:v>463551</c:v>
                </c:pt>
                <c:pt idx="3">
                  <c:v>554354</c:v>
                </c:pt>
                <c:pt idx="4">
                  <c:v>531392</c:v>
                </c:pt>
                <c:pt idx="5">
                  <c:v>545971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245-4ACE-BC3C-713B6177C0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71884991"/>
        <c:axId val="1486775679"/>
      </c:barChart>
      <c:catAx>
        <c:axId val="97188499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86775679"/>
        <c:crosses val="autoZero"/>
        <c:auto val="1"/>
        <c:lblAlgn val="ctr"/>
        <c:lblOffset val="100"/>
        <c:noMultiLvlLbl val="0"/>
      </c:catAx>
      <c:valAx>
        <c:axId val="1486775679"/>
        <c:scaling>
          <c:orientation val="minMax"/>
          <c:min val="300000"/>
        </c:scaling>
        <c:delete val="0"/>
        <c:axPos val="l"/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7188499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4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'Base Funcionários'!$B$1</c:f>
              <c:strCache>
                <c:ptCount val="1"/>
                <c:pt idx="0">
                  <c:v>Salário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'Base Funcionários'!$A$2:$A$6</c:f>
              <c:strCache>
                <c:ptCount val="5"/>
                <c:pt idx="0">
                  <c:v>Estagiário</c:v>
                </c:pt>
                <c:pt idx="1">
                  <c:v>Gerente</c:v>
                </c:pt>
                <c:pt idx="2">
                  <c:v>Analista Júnior</c:v>
                </c:pt>
                <c:pt idx="3">
                  <c:v>Analista Senior</c:v>
                </c:pt>
                <c:pt idx="4">
                  <c:v>Coordenador</c:v>
                </c:pt>
              </c:strCache>
            </c:strRef>
          </c:cat>
          <c:val>
            <c:numRef>
              <c:f>'Base Funcionários'!$B$2:$B$6</c:f>
              <c:numCache>
                <c:formatCode>"R$"#,##0</c:formatCode>
                <c:ptCount val="5"/>
                <c:pt idx="0">
                  <c:v>1600</c:v>
                </c:pt>
                <c:pt idx="1">
                  <c:v>9320</c:v>
                </c:pt>
                <c:pt idx="2">
                  <c:v>3000</c:v>
                </c:pt>
                <c:pt idx="3">
                  <c:v>4650</c:v>
                </c:pt>
                <c:pt idx="4">
                  <c:v>8100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BA3-4F88-8EEB-7AD9B504A3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79316511"/>
        <c:axId val="1486746143"/>
      </c:barChart>
      <c:catAx>
        <c:axId val="15793165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86746143"/>
        <c:crosses val="autoZero"/>
        <c:auto val="1"/>
        <c:lblAlgn val="ctr"/>
        <c:lblOffset val="100"/>
        <c:noMultiLvlLbl val="0"/>
      </c:catAx>
      <c:valAx>
        <c:axId val="1486746143"/>
        <c:scaling>
          <c:orientation val="minMax"/>
        </c:scaling>
        <c:delete val="0"/>
        <c:axPos val="l"/>
        <c:numFmt formatCode="&quot;R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7931651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4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'Planilha Vendas'!$C$1</c:f>
              <c:strCache>
                <c:ptCount val="1"/>
                <c:pt idx="0">
                  <c:v>Faturado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'Planilha Vendas'!$B$2:$B$5</c:f>
              <c:strCache>
                <c:ptCount val="4"/>
                <c:pt idx="0">
                  <c:v>Lira Batom</c:v>
                </c:pt>
                <c:pt idx="1">
                  <c:v>Sabom Paes Leme</c:v>
                </c:pt>
                <c:pt idx="2">
                  <c:v>Sombras Ivo's</c:v>
                </c:pt>
                <c:pt idx="3">
                  <c:v>Martins Shampoo</c:v>
                </c:pt>
              </c:strCache>
            </c:strRef>
          </c:cat>
          <c:val>
            <c:numRef>
              <c:f>'Planilha Vendas'!$C$2:$C$5</c:f>
              <c:numCache>
                <c:formatCode>"R$"\ #,##0</c:formatCode>
                <c:ptCount val="4"/>
                <c:pt idx="0">
                  <c:v>4711</c:v>
                </c:pt>
                <c:pt idx="1">
                  <c:v>3585</c:v>
                </c:pt>
                <c:pt idx="2">
                  <c:v>2160</c:v>
                </c:pt>
                <c:pt idx="3">
                  <c:v>4121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E39-40E8-9734-6D9FB78142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79543391"/>
        <c:axId val="1486778175"/>
      </c:barChart>
      <c:catAx>
        <c:axId val="157954339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86778175"/>
        <c:crosses val="autoZero"/>
        <c:auto val="1"/>
        <c:lblAlgn val="ctr"/>
        <c:lblOffset val="100"/>
        <c:noMultiLvlLbl val="0"/>
      </c:catAx>
      <c:valAx>
        <c:axId val="1486778175"/>
        <c:scaling>
          <c:orientation val="minMax"/>
        </c:scaling>
        <c:delete val="0"/>
        <c:axPos val="l"/>
        <c:numFmt formatCode="&quot;R$&quot;\ 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7954339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4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jan/15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Análise!$C$3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Análise!$B$4:$B$9</c:f>
              <c:strCache>
                <c:ptCount val="6"/>
                <c:pt idx="0">
                  <c:v>Folha salarial</c:v>
                </c:pt>
                <c:pt idx="1">
                  <c:v>Impostos</c:v>
                </c:pt>
                <c:pt idx="2">
                  <c:v>Luz</c:v>
                </c:pt>
                <c:pt idx="3">
                  <c:v>Água</c:v>
                </c:pt>
                <c:pt idx="4">
                  <c:v>Telefone</c:v>
                </c:pt>
                <c:pt idx="5">
                  <c:v>Processos</c:v>
                </c:pt>
              </c:strCache>
            </c:strRef>
          </c:cat>
          <c:val>
            <c:numRef>
              <c:f>Análise!$C$4:$C$9</c:f>
              <c:numCache>
                <c:formatCode>"R$"\ #,##0;\-"R$"\ #,##0</c:formatCode>
                <c:ptCount val="6"/>
                <c:pt idx="0">
                  <c:v>1338</c:v>
                </c:pt>
                <c:pt idx="1">
                  <c:v>864</c:v>
                </c:pt>
                <c:pt idx="2">
                  <c:v>1288</c:v>
                </c:pt>
                <c:pt idx="3">
                  <c:v>1180</c:v>
                </c:pt>
                <c:pt idx="4">
                  <c:v>1362</c:v>
                </c:pt>
                <c:pt idx="5">
                  <c:v>1198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C2-42D9-9D10-2CBD83FE20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93048719"/>
        <c:axId val="1581470799"/>
      </c:barChart>
      <c:catAx>
        <c:axId val="159304871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81470799"/>
        <c:crosses val="autoZero"/>
        <c:auto val="1"/>
        <c:lblAlgn val="ctr"/>
        <c:lblOffset val="100"/>
        <c:noMultiLvlLbl val="0"/>
      </c:catAx>
      <c:valAx>
        <c:axId val="1581470799"/>
        <c:scaling>
          <c:orientation val="minMax"/>
        </c:scaling>
        <c:delete val="0"/>
        <c:axPos val="l"/>
        <c:numFmt formatCode="&quot;R$&quot;\ #,##0;\-&quot;R$&quot;\ 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9304871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4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fev/15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Análise!$H$3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Análise!$G$4:$G$9</c:f>
              <c:strCache>
                <c:ptCount val="6"/>
                <c:pt idx="0">
                  <c:v>Folha salarial</c:v>
                </c:pt>
                <c:pt idx="1">
                  <c:v>Impostos</c:v>
                </c:pt>
                <c:pt idx="2">
                  <c:v>Luz</c:v>
                </c:pt>
                <c:pt idx="3">
                  <c:v>Água</c:v>
                </c:pt>
                <c:pt idx="4">
                  <c:v>Telefone</c:v>
                </c:pt>
                <c:pt idx="5">
                  <c:v>Processos</c:v>
                </c:pt>
              </c:strCache>
            </c:strRef>
          </c:cat>
          <c:val>
            <c:numRef>
              <c:f>Análise!$H$4:$H$9</c:f>
              <c:numCache>
                <c:formatCode>"R$"\ #,##0;\-"R$"\ #,##0</c:formatCode>
                <c:ptCount val="6"/>
                <c:pt idx="0">
                  <c:v>944</c:v>
                </c:pt>
                <c:pt idx="1">
                  <c:v>1331</c:v>
                </c:pt>
                <c:pt idx="2">
                  <c:v>1222</c:v>
                </c:pt>
                <c:pt idx="3">
                  <c:v>969</c:v>
                </c:pt>
                <c:pt idx="4">
                  <c:v>1367</c:v>
                </c:pt>
                <c:pt idx="5">
                  <c:v>1178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EF4-4C08-98EE-C465A20DC7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92887631"/>
        <c:axId val="1581469551"/>
      </c:barChart>
      <c:catAx>
        <c:axId val="159288763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81469551"/>
        <c:crosses val="autoZero"/>
        <c:auto val="1"/>
        <c:lblAlgn val="ctr"/>
        <c:lblOffset val="100"/>
        <c:noMultiLvlLbl val="0"/>
      </c:catAx>
      <c:valAx>
        <c:axId val="1581469551"/>
        <c:scaling>
          <c:orientation val="minMax"/>
        </c:scaling>
        <c:delete val="0"/>
        <c:axPos val="l"/>
        <c:numFmt formatCode="&quot;R$&quot;\ #,##0;\-&quot;R$&quot;\ 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9288763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4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mar/15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Análise!$K$4:$K$9</c:f>
              <c:strCache>
                <c:ptCount val="6"/>
                <c:pt idx="0">
                  <c:v>Folha salarial</c:v>
                </c:pt>
                <c:pt idx="1">
                  <c:v>Impostos</c:v>
                </c:pt>
                <c:pt idx="2">
                  <c:v>Luz</c:v>
                </c:pt>
                <c:pt idx="3">
                  <c:v>Água</c:v>
                </c:pt>
                <c:pt idx="4">
                  <c:v>Telefone</c:v>
                </c:pt>
                <c:pt idx="5">
                  <c:v>Processos</c:v>
                </c:pt>
              </c:strCache>
            </c:strRef>
          </c:cat>
          <c:val>
            <c:numRef>
              <c:f>Análise!$L$4:$L$9</c:f>
              <c:numCache>
                <c:formatCode>"R$"\ #,##0;\-"R$"\ #,##0</c:formatCode>
                <c:ptCount val="6"/>
                <c:pt idx="0">
                  <c:v>1139</c:v>
                </c:pt>
                <c:pt idx="1">
                  <c:v>815</c:v>
                </c:pt>
                <c:pt idx="2">
                  <c:v>962</c:v>
                </c:pt>
                <c:pt idx="3">
                  <c:v>917</c:v>
                </c:pt>
                <c:pt idx="4">
                  <c:v>1254</c:v>
                </c:pt>
                <c:pt idx="5">
                  <c:v>1251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2D5-4D0F-AE3A-B99834684F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99002415"/>
        <c:axId val="1581475791"/>
      </c:barChart>
      <c:catAx>
        <c:axId val="139900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81475791"/>
        <c:crosses val="autoZero"/>
        <c:auto val="1"/>
        <c:lblAlgn val="ctr"/>
        <c:lblOffset val="100"/>
        <c:noMultiLvlLbl val="0"/>
      </c:catAx>
      <c:valAx>
        <c:axId val="1581475791"/>
        <c:scaling>
          <c:orientation val="minMax"/>
        </c:scaling>
        <c:delete val="0"/>
        <c:axPos val="l"/>
        <c:numFmt formatCode="&quot;R$&quot;\ #,##0;\-&quot;R$&quot;\ 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9900241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4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abr/15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Análise!$P$3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Análise!$O$4:$O$9</c:f>
              <c:strCache>
                <c:ptCount val="6"/>
                <c:pt idx="0">
                  <c:v>Folha salarial</c:v>
                </c:pt>
                <c:pt idx="1">
                  <c:v>Impostos</c:v>
                </c:pt>
                <c:pt idx="2">
                  <c:v>Luz</c:v>
                </c:pt>
                <c:pt idx="3">
                  <c:v>Água</c:v>
                </c:pt>
                <c:pt idx="4">
                  <c:v>Telefone</c:v>
                </c:pt>
                <c:pt idx="5">
                  <c:v>Processos</c:v>
                </c:pt>
              </c:strCache>
            </c:strRef>
          </c:cat>
          <c:val>
            <c:numRef>
              <c:f>Análise!$P$4:$P$9</c:f>
              <c:numCache>
                <c:formatCode>"R$"\ #,##0;\-"R$"\ #,##0</c:formatCode>
                <c:ptCount val="6"/>
                <c:pt idx="0">
                  <c:v>1055</c:v>
                </c:pt>
                <c:pt idx="1">
                  <c:v>1117</c:v>
                </c:pt>
                <c:pt idx="2">
                  <c:v>1279</c:v>
                </c:pt>
                <c:pt idx="3">
                  <c:v>1035</c:v>
                </c:pt>
                <c:pt idx="4">
                  <c:v>877</c:v>
                </c:pt>
                <c:pt idx="5">
                  <c:v>1286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30-46ED-92F2-854646CC00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83183727"/>
        <c:axId val="1581493679"/>
      </c:barChart>
      <c:catAx>
        <c:axId val="158318372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81493679"/>
        <c:crosses val="autoZero"/>
        <c:auto val="1"/>
        <c:lblAlgn val="ctr"/>
        <c:lblOffset val="100"/>
        <c:noMultiLvlLbl val="0"/>
      </c:catAx>
      <c:valAx>
        <c:axId val="1581493679"/>
        <c:scaling>
          <c:orientation val="minMax"/>
        </c:scaling>
        <c:delete val="0"/>
        <c:axPos val="l"/>
        <c:numFmt formatCode="&quot;R$&quot;\ #,##0;\-&quot;R$&quot;\ 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831837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4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SKUs!$B$1</c:f>
              <c:strCache>
                <c:ptCount val="1"/>
                <c:pt idx="0">
                  <c:v>Valor de venda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SKUs!$A$2:$A$5</c:f>
              <c:strCache>
                <c:ptCount val="4"/>
                <c:pt idx="0">
                  <c:v>Reserva</c:v>
                </c:pt>
                <c:pt idx="1">
                  <c:v>Hashtag</c:v>
                </c:pt>
                <c:pt idx="2">
                  <c:v>Osklen</c:v>
                </c:pt>
                <c:pt idx="3">
                  <c:v>Hering</c:v>
                </c:pt>
              </c:strCache>
            </c:strRef>
          </c:cat>
          <c:val>
            <c:numRef>
              <c:f>SKUs!$B$2:$B$5</c:f>
              <c:numCache>
                <c:formatCode>"R$"\ #,##0.00</c:formatCode>
                <c:ptCount val="4"/>
                <c:pt idx="0">
                  <c:v>25200</c:v>
                </c:pt>
                <c:pt idx="1">
                  <c:v>23450</c:v>
                </c:pt>
                <c:pt idx="2">
                  <c:v>35870</c:v>
                </c:pt>
                <c:pt idx="3">
                  <c:v>34830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E29-4171-9721-93B7931AED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81415583"/>
        <c:axId val="1581456239"/>
      </c:barChart>
      <c:catAx>
        <c:axId val="158141558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81456239"/>
        <c:crosses val="autoZero"/>
        <c:auto val="1"/>
        <c:lblAlgn val="ctr"/>
        <c:lblOffset val="100"/>
        <c:noMultiLvlLbl val="0"/>
      </c:catAx>
      <c:valAx>
        <c:axId val="1581456239"/>
        <c:scaling>
          <c:orientation val="minMax"/>
        </c:scaling>
        <c:delete val="0"/>
        <c:axPos val="l"/>
        <c:numFmt formatCode="&quot;R$&quot;\ 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814155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4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Relationship Id="rId4" Type="http://schemas.openxmlformats.org/officeDocument/2006/relationships/chart" Target="../charts/chart13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</xdr:row>
      <xdr:rowOff>130174</xdr:rowOff>
    </xdr:from>
    <xdr:to>
      <xdr:col>6</xdr:col>
      <xdr:colOff>666075</xdr:colOff>
      <xdr:row>26</xdr:row>
      <xdr:rowOff>152674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AF86D86-8345-4432-8049-F35B2B96DF4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758823</xdr:colOff>
      <xdr:row>11</xdr:row>
      <xdr:rowOff>130174</xdr:rowOff>
    </xdr:from>
    <xdr:to>
      <xdr:col>14</xdr:col>
      <xdr:colOff>339048</xdr:colOff>
      <xdr:row>26</xdr:row>
      <xdr:rowOff>152674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D3D27BFC-EBB2-4C70-B3A4-F3848F61794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15</xdr:col>
      <xdr:colOff>1359</xdr:colOff>
      <xdr:row>11</xdr:row>
      <xdr:rowOff>130174</xdr:rowOff>
    </xdr:from>
    <xdr:to>
      <xdr:col>22</xdr:col>
      <xdr:colOff>686484</xdr:colOff>
      <xdr:row>26</xdr:row>
      <xdr:rowOff>152674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B37EFB91-5A35-44C4-A545-52F01C7B398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257173</xdr:colOff>
      <xdr:row>11</xdr:row>
      <xdr:rowOff>130174</xdr:rowOff>
    </xdr:from>
    <xdr:to>
      <xdr:col>32</xdr:col>
      <xdr:colOff>199348</xdr:colOff>
      <xdr:row>26</xdr:row>
      <xdr:rowOff>152674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AA93CD81-DF6A-49F1-B051-825AD775D1B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77756</xdr:colOff>
      <xdr:row>1</xdr:row>
      <xdr:rowOff>69981</xdr:rowOff>
    </xdr:from>
    <xdr:to>
      <xdr:col>6</xdr:col>
      <xdr:colOff>750108</xdr:colOff>
      <xdr:row>4</xdr:row>
      <xdr:rowOff>176094</xdr:rowOff>
    </xdr:to>
    <xdr:sp macro="[0]!gravacao_padronizado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30763B55-CF77-453B-864E-F8BF98771CD9}"/>
            </a:ext>
          </a:extLst>
        </xdr:cNvPr>
        <xdr:cNvSpPr/>
      </xdr:nvSpPr>
      <xdr:spPr>
        <a:xfrm>
          <a:off x="4253205" y="272144"/>
          <a:ext cx="1535433" cy="665950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/>
            <a:t>Padronizar</a:t>
          </a:r>
          <a:r>
            <a:rPr lang="pt-BR" sz="1100" baseline="0"/>
            <a:t> </a:t>
          </a:r>
          <a:r>
            <a:rPr lang="pt-BR" sz="1400" baseline="0"/>
            <a:t>Gráficos</a:t>
          </a:r>
          <a:endParaRPr lang="pt-B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193674</xdr:colOff>
      <xdr:row>8</xdr:row>
      <xdr:rowOff>149225</xdr:rowOff>
    </xdr:from>
    <xdr:to>
      <xdr:col>5</xdr:col>
      <xdr:colOff>735924</xdr:colOff>
      <xdr:row>23</xdr:row>
      <xdr:rowOff>171725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142D6E2A-D7D3-4C38-B5F1-FF50A7BBB46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714375</xdr:colOff>
      <xdr:row>8</xdr:row>
      <xdr:rowOff>149224</xdr:rowOff>
    </xdr:from>
    <xdr:to>
      <xdr:col>11</xdr:col>
      <xdr:colOff>408900</xdr:colOff>
      <xdr:row>23</xdr:row>
      <xdr:rowOff>171724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03C1005-980F-408C-AAD6-225B8AA2EB8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466724</xdr:colOff>
      <xdr:row>8</xdr:row>
      <xdr:rowOff>149225</xdr:rowOff>
    </xdr:from>
    <xdr:to>
      <xdr:col>19</xdr:col>
      <xdr:colOff>151724</xdr:colOff>
      <xdr:row>23</xdr:row>
      <xdr:rowOff>171725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75EA665B-FB89-4C05-B876-62F22C3EE4A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73022</xdr:colOff>
      <xdr:row>1</xdr:row>
      <xdr:rowOff>28574</xdr:rowOff>
    </xdr:from>
    <xdr:to>
      <xdr:col>11</xdr:col>
      <xdr:colOff>596222</xdr:colOff>
      <xdr:row>16</xdr:row>
      <xdr:rowOff>51074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99253FCE-E333-43D9-86F2-8F935C7BD3F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244473</xdr:colOff>
      <xdr:row>2</xdr:row>
      <xdr:rowOff>130175</xdr:rowOff>
    </xdr:from>
    <xdr:to>
      <xdr:col>12</xdr:col>
      <xdr:colOff>158073</xdr:colOff>
      <xdr:row>17</xdr:row>
      <xdr:rowOff>152675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51334C63-9836-4536-9770-16C59585362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3174</xdr:colOff>
      <xdr:row>9</xdr:row>
      <xdr:rowOff>180974</xdr:rowOff>
    </xdr:from>
    <xdr:to>
      <xdr:col>5</xdr:col>
      <xdr:colOff>412074</xdr:colOff>
      <xdr:row>25</xdr:row>
      <xdr:rowOff>12974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8217C41C-4212-4F9F-8C92-1AE170DB779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238124</xdr:colOff>
      <xdr:row>9</xdr:row>
      <xdr:rowOff>180974</xdr:rowOff>
    </xdr:from>
    <xdr:to>
      <xdr:col>10</xdr:col>
      <xdr:colOff>142199</xdr:colOff>
      <xdr:row>25</xdr:row>
      <xdr:rowOff>12974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67C9BF5A-DFFB-42C1-824E-B3A2A10D756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0</xdr:colOff>
      <xdr:row>9</xdr:row>
      <xdr:rowOff>180974</xdr:rowOff>
    </xdr:from>
    <xdr:to>
      <xdr:col>14</xdr:col>
      <xdr:colOff>866100</xdr:colOff>
      <xdr:row>25</xdr:row>
      <xdr:rowOff>12974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70CF9EF3-6BE5-4BD4-8905-7E22E7A77E9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123823</xdr:colOff>
      <xdr:row>9</xdr:row>
      <xdr:rowOff>180975</xdr:rowOff>
    </xdr:from>
    <xdr:to>
      <xdr:col>21</xdr:col>
      <xdr:colOff>151723</xdr:colOff>
      <xdr:row>25</xdr:row>
      <xdr:rowOff>12975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8CC5849F-936B-4FA1-BFB9-93C9D774CAE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523874</xdr:colOff>
      <xdr:row>2</xdr:row>
      <xdr:rowOff>47624</xdr:rowOff>
    </xdr:from>
    <xdr:to>
      <xdr:col>11</xdr:col>
      <xdr:colOff>437474</xdr:colOff>
      <xdr:row>17</xdr:row>
      <xdr:rowOff>70124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BD5122A3-7B98-4307-88FE-AD7641ACE59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C5B0D3-403F-446E-8C92-D160C7ED1080}">
  <sheetPr codeName="Planilha7"/>
  <dimension ref="A1:AB11"/>
  <sheetViews>
    <sheetView showGridLines="0" tabSelected="1" zoomScale="70" zoomScaleNormal="70" workbookViewId="0">
      <selection activeCell="G9" sqref="G9"/>
    </sheetView>
  </sheetViews>
  <sheetFormatPr defaultRowHeight="15" x14ac:dyDescent="0.25"/>
  <cols>
    <col min="1" max="1" width="10.28515625" bestFit="1" customWidth="1"/>
    <col min="2" max="6" width="12.140625" customWidth="1"/>
    <col min="7" max="7" width="11.42578125" customWidth="1"/>
    <col min="8" max="8" width="9.5703125" bestFit="1" customWidth="1"/>
    <col min="9" max="9" width="9.42578125" bestFit="1" customWidth="1"/>
    <col min="12" max="12" width="9.7109375" bestFit="1" customWidth="1"/>
    <col min="13" max="14" width="14.42578125" customWidth="1"/>
    <col min="15" max="15" width="7.140625" customWidth="1"/>
    <col min="16" max="16" width="9.5703125" bestFit="1" customWidth="1"/>
    <col min="17" max="17" width="9.42578125" bestFit="1" customWidth="1"/>
    <col min="20" max="20" width="9.7109375" bestFit="1" customWidth="1"/>
    <col min="21" max="22" width="11.85546875" customWidth="1"/>
    <col min="23" max="23" width="10.5703125" customWidth="1"/>
    <col min="24" max="24" width="9.5703125" bestFit="1" customWidth="1"/>
    <col min="25" max="25" width="9.42578125" bestFit="1" customWidth="1"/>
    <col min="28" max="28" width="8" bestFit="1" customWidth="1"/>
  </cols>
  <sheetData>
    <row r="1" spans="1:28" ht="15.75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H1" s="1" t="s">
        <v>0</v>
      </c>
      <c r="I1" s="1" t="s">
        <v>1</v>
      </c>
      <c r="J1" s="1" t="s">
        <v>2</v>
      </c>
      <c r="K1" s="1" t="s">
        <v>3</v>
      </c>
      <c r="L1" s="1" t="s">
        <v>4</v>
      </c>
      <c r="P1" s="1" t="s">
        <v>0</v>
      </c>
      <c r="Q1" s="1" t="s">
        <v>1</v>
      </c>
      <c r="R1" s="1" t="s">
        <v>2</v>
      </c>
      <c r="S1" s="1" t="s">
        <v>3</v>
      </c>
      <c r="T1" s="1" t="s">
        <v>4</v>
      </c>
      <c r="X1" s="1" t="s">
        <v>0</v>
      </c>
      <c r="Y1" s="1" t="s">
        <v>1</v>
      </c>
      <c r="Z1" s="1" t="s">
        <v>2</v>
      </c>
      <c r="AA1" s="1" t="s">
        <v>3</v>
      </c>
      <c r="AB1" s="1" t="s">
        <v>4</v>
      </c>
    </row>
    <row r="2" spans="1:28" x14ac:dyDescent="0.25">
      <c r="A2" s="2" t="s">
        <v>5</v>
      </c>
      <c r="B2" s="2">
        <v>785</v>
      </c>
      <c r="C2" s="3">
        <v>981</v>
      </c>
      <c r="D2" s="2">
        <v>157</v>
      </c>
      <c r="E2" s="2" t="s">
        <v>6</v>
      </c>
      <c r="F2" s="20"/>
      <c r="H2" s="2" t="s">
        <v>17</v>
      </c>
      <c r="I2" s="2">
        <v>463</v>
      </c>
      <c r="J2" s="3">
        <v>579</v>
      </c>
      <c r="K2" s="2">
        <v>93</v>
      </c>
      <c r="L2" s="2" t="s">
        <v>6</v>
      </c>
      <c r="P2" s="2" t="s">
        <v>27</v>
      </c>
      <c r="Q2" s="2">
        <v>316</v>
      </c>
      <c r="R2" s="3">
        <v>395</v>
      </c>
      <c r="S2" s="2">
        <v>63</v>
      </c>
      <c r="T2" s="2" t="s">
        <v>6</v>
      </c>
      <c r="U2" s="20"/>
      <c r="V2" s="20"/>
      <c r="X2" s="2" t="s">
        <v>37</v>
      </c>
      <c r="Y2" s="2">
        <v>810</v>
      </c>
      <c r="Z2" s="3">
        <v>1013</v>
      </c>
      <c r="AA2" s="2">
        <v>162</v>
      </c>
      <c r="AB2" s="2" t="s">
        <v>6</v>
      </c>
    </row>
    <row r="3" spans="1:28" x14ac:dyDescent="0.25">
      <c r="A3" s="2" t="s">
        <v>7</v>
      </c>
      <c r="B3" s="2">
        <v>558</v>
      </c>
      <c r="C3" s="3">
        <v>698</v>
      </c>
      <c r="D3" s="2">
        <v>112</v>
      </c>
      <c r="E3" s="2" t="s">
        <v>8</v>
      </c>
      <c r="F3" s="20"/>
      <c r="H3" s="2" t="s">
        <v>18</v>
      </c>
      <c r="I3" s="2">
        <v>853</v>
      </c>
      <c r="J3" s="3">
        <v>1066</v>
      </c>
      <c r="K3" s="2">
        <v>171</v>
      </c>
      <c r="L3" s="2" t="s">
        <v>6</v>
      </c>
      <c r="P3" s="2" t="s">
        <v>28</v>
      </c>
      <c r="Q3" s="2">
        <v>882</v>
      </c>
      <c r="R3" s="3">
        <v>1103</v>
      </c>
      <c r="S3" s="2">
        <v>176</v>
      </c>
      <c r="T3" s="2" t="s">
        <v>6</v>
      </c>
      <c r="U3" s="20"/>
      <c r="V3" s="20"/>
      <c r="X3" s="2" t="s">
        <v>38</v>
      </c>
      <c r="Y3" s="2">
        <v>722</v>
      </c>
      <c r="Z3" s="3">
        <v>903</v>
      </c>
      <c r="AA3" s="2">
        <v>144</v>
      </c>
      <c r="AB3" s="2" t="s">
        <v>6</v>
      </c>
    </row>
    <row r="4" spans="1:28" x14ac:dyDescent="0.25">
      <c r="A4" s="2" t="s">
        <v>9</v>
      </c>
      <c r="B4" s="2">
        <v>851</v>
      </c>
      <c r="C4" s="3">
        <v>1064</v>
      </c>
      <c r="D4" s="2">
        <v>170</v>
      </c>
      <c r="E4" s="2" t="s">
        <v>6</v>
      </c>
      <c r="F4" s="20"/>
      <c r="H4" s="2" t="s">
        <v>19</v>
      </c>
      <c r="I4" s="2">
        <v>629</v>
      </c>
      <c r="J4" s="3">
        <v>786</v>
      </c>
      <c r="K4" s="2">
        <v>126</v>
      </c>
      <c r="L4" s="2" t="s">
        <v>8</v>
      </c>
      <c r="P4" s="2" t="s">
        <v>29</v>
      </c>
      <c r="Q4" s="2">
        <v>237</v>
      </c>
      <c r="R4" s="3">
        <v>296</v>
      </c>
      <c r="S4" s="2">
        <v>47</v>
      </c>
      <c r="T4" s="2" t="s">
        <v>6</v>
      </c>
      <c r="U4" s="20"/>
      <c r="V4" s="20"/>
      <c r="X4" s="2" t="s">
        <v>39</v>
      </c>
      <c r="Y4" s="2">
        <v>120</v>
      </c>
      <c r="Z4" s="3">
        <v>150</v>
      </c>
      <c r="AA4" s="2">
        <v>24</v>
      </c>
      <c r="AB4" s="2" t="s">
        <v>6</v>
      </c>
    </row>
    <row r="5" spans="1:28" x14ac:dyDescent="0.25">
      <c r="A5" s="2" t="s">
        <v>10</v>
      </c>
      <c r="B5" s="2">
        <v>587</v>
      </c>
      <c r="C5" s="3">
        <v>734</v>
      </c>
      <c r="D5" s="2">
        <v>117</v>
      </c>
      <c r="E5" s="2" t="s">
        <v>6</v>
      </c>
      <c r="F5" s="20"/>
      <c r="H5" s="2" t="s">
        <v>20</v>
      </c>
      <c r="I5" s="2">
        <v>649</v>
      </c>
      <c r="J5" s="3">
        <v>811</v>
      </c>
      <c r="K5" s="2">
        <v>130</v>
      </c>
      <c r="L5" s="2" t="s">
        <v>8</v>
      </c>
      <c r="P5" s="2" t="s">
        <v>30</v>
      </c>
      <c r="Q5" s="2">
        <v>116</v>
      </c>
      <c r="R5" s="3">
        <v>145</v>
      </c>
      <c r="S5" s="2">
        <v>23</v>
      </c>
      <c r="T5" s="2" t="s">
        <v>8</v>
      </c>
      <c r="U5" s="20"/>
      <c r="V5" s="20"/>
      <c r="X5" s="2" t="s">
        <v>40</v>
      </c>
      <c r="Y5" s="2">
        <v>843</v>
      </c>
      <c r="Z5" s="3">
        <v>1054</v>
      </c>
      <c r="AA5" s="2">
        <v>169</v>
      </c>
      <c r="AB5" s="2" t="s">
        <v>6</v>
      </c>
    </row>
    <row r="6" spans="1:28" x14ac:dyDescent="0.25">
      <c r="A6" s="2" t="s">
        <v>11</v>
      </c>
      <c r="B6" s="2">
        <v>396</v>
      </c>
      <c r="C6" s="3">
        <v>495</v>
      </c>
      <c r="D6" s="2">
        <v>79</v>
      </c>
      <c r="E6" s="2" t="s">
        <v>8</v>
      </c>
      <c r="F6" s="20"/>
      <c r="H6" s="2" t="s">
        <v>21</v>
      </c>
      <c r="I6" s="2">
        <v>791</v>
      </c>
      <c r="J6" s="3">
        <v>989</v>
      </c>
      <c r="K6" s="2">
        <v>158</v>
      </c>
      <c r="L6" s="2" t="s">
        <v>8</v>
      </c>
      <c r="P6" s="2" t="s">
        <v>31</v>
      </c>
      <c r="Q6" s="2">
        <v>818</v>
      </c>
      <c r="R6" s="3">
        <v>1023</v>
      </c>
      <c r="S6" s="2">
        <v>164</v>
      </c>
      <c r="T6" s="2" t="s">
        <v>6</v>
      </c>
      <c r="U6" s="20"/>
      <c r="V6" s="20"/>
      <c r="X6" s="2" t="s">
        <v>41</v>
      </c>
      <c r="Y6" s="2">
        <v>559</v>
      </c>
      <c r="Z6" s="3">
        <v>699</v>
      </c>
      <c r="AA6" s="2">
        <v>112</v>
      </c>
      <c r="AB6" s="2" t="s">
        <v>6</v>
      </c>
    </row>
    <row r="7" spans="1:28" x14ac:dyDescent="0.25">
      <c r="A7" s="2" t="s">
        <v>12</v>
      </c>
      <c r="B7" s="2">
        <v>113</v>
      </c>
      <c r="C7" s="3">
        <v>141</v>
      </c>
      <c r="D7" s="2">
        <v>23</v>
      </c>
      <c r="E7" s="2" t="s">
        <v>6</v>
      </c>
      <c r="F7" s="20"/>
      <c r="H7" s="2" t="s">
        <v>22</v>
      </c>
      <c r="I7" s="2">
        <v>153</v>
      </c>
      <c r="J7" s="3">
        <v>191</v>
      </c>
      <c r="K7" s="2">
        <v>31</v>
      </c>
      <c r="L7" s="2" t="s">
        <v>6</v>
      </c>
      <c r="P7" s="2" t="s">
        <v>32</v>
      </c>
      <c r="Q7" s="2">
        <v>428</v>
      </c>
      <c r="R7" s="3">
        <v>535</v>
      </c>
      <c r="S7" s="2">
        <v>86</v>
      </c>
      <c r="T7" s="2" t="s">
        <v>6</v>
      </c>
      <c r="U7" s="20"/>
      <c r="V7" s="20"/>
      <c r="X7" s="2" t="s">
        <v>42</v>
      </c>
      <c r="Y7" s="2">
        <v>281</v>
      </c>
      <c r="Z7" s="3">
        <v>351</v>
      </c>
      <c r="AA7" s="2">
        <v>56</v>
      </c>
      <c r="AB7" s="2" t="s">
        <v>6</v>
      </c>
    </row>
    <row r="8" spans="1:28" x14ac:dyDescent="0.25">
      <c r="A8" s="2" t="s">
        <v>13</v>
      </c>
      <c r="B8" s="2">
        <v>364</v>
      </c>
      <c r="C8" s="3">
        <v>455</v>
      </c>
      <c r="D8" s="2">
        <v>73</v>
      </c>
      <c r="E8" s="2" t="s">
        <v>6</v>
      </c>
      <c r="F8" s="20"/>
      <c r="H8" s="2" t="s">
        <v>23</v>
      </c>
      <c r="I8" s="2">
        <v>593</v>
      </c>
      <c r="J8" s="3">
        <v>741</v>
      </c>
      <c r="K8" s="2">
        <v>119</v>
      </c>
      <c r="L8" s="2" t="s">
        <v>6</v>
      </c>
      <c r="P8" s="2" t="s">
        <v>33</v>
      </c>
      <c r="Q8" s="2">
        <v>107</v>
      </c>
      <c r="R8" s="3">
        <v>134</v>
      </c>
      <c r="S8" s="2">
        <v>21</v>
      </c>
      <c r="T8" s="2" t="s">
        <v>6</v>
      </c>
      <c r="U8" s="20"/>
      <c r="V8" s="20"/>
      <c r="X8" s="2" t="s">
        <v>43</v>
      </c>
      <c r="Y8" s="2">
        <v>104</v>
      </c>
      <c r="Z8" s="3">
        <v>130</v>
      </c>
      <c r="AA8" s="2">
        <v>21</v>
      </c>
      <c r="AB8" s="2" t="s">
        <v>6</v>
      </c>
    </row>
    <row r="9" spans="1:28" x14ac:dyDescent="0.25">
      <c r="A9" s="2" t="s">
        <v>14</v>
      </c>
      <c r="B9" s="2">
        <v>1000</v>
      </c>
      <c r="C9" s="3">
        <v>1250</v>
      </c>
      <c r="D9" s="2">
        <v>200</v>
      </c>
      <c r="E9" s="2" t="s">
        <v>6</v>
      </c>
      <c r="F9" s="20"/>
      <c r="H9" s="2" t="s">
        <v>24</v>
      </c>
      <c r="I9" s="2">
        <v>564</v>
      </c>
      <c r="J9" s="3">
        <v>705</v>
      </c>
      <c r="K9" s="2">
        <v>113</v>
      </c>
      <c r="L9" s="2" t="s">
        <v>6</v>
      </c>
      <c r="P9" s="2" t="s">
        <v>34</v>
      </c>
      <c r="Q9" s="2">
        <v>645</v>
      </c>
      <c r="R9" s="3">
        <v>806</v>
      </c>
      <c r="S9" s="2">
        <v>129</v>
      </c>
      <c r="T9" s="2" t="s">
        <v>6</v>
      </c>
      <c r="U9" s="20"/>
      <c r="V9" s="20"/>
      <c r="X9" s="2" t="s">
        <v>44</v>
      </c>
      <c r="Y9" s="2">
        <v>911</v>
      </c>
      <c r="Z9" s="3">
        <v>1139</v>
      </c>
      <c r="AA9" s="2">
        <v>182</v>
      </c>
      <c r="AB9" s="2" t="s">
        <v>6</v>
      </c>
    </row>
    <row r="10" spans="1:28" x14ac:dyDescent="0.25">
      <c r="A10" s="2" t="s">
        <v>15</v>
      </c>
      <c r="B10" s="2">
        <v>607</v>
      </c>
      <c r="C10" s="3">
        <v>759</v>
      </c>
      <c r="D10" s="2">
        <v>121</v>
      </c>
      <c r="E10" s="2" t="s">
        <v>6</v>
      </c>
      <c r="F10" s="20"/>
      <c r="H10" s="2" t="s">
        <v>25</v>
      </c>
      <c r="I10" s="2">
        <v>207</v>
      </c>
      <c r="J10" s="3">
        <v>259</v>
      </c>
      <c r="K10" s="2">
        <v>41</v>
      </c>
      <c r="L10" s="2" t="s">
        <v>6</v>
      </c>
      <c r="P10" s="2" t="s">
        <v>35</v>
      </c>
      <c r="Q10" s="2">
        <v>648</v>
      </c>
      <c r="R10" s="3">
        <v>810</v>
      </c>
      <c r="S10" s="2">
        <v>130</v>
      </c>
      <c r="T10" s="2" t="s">
        <v>6</v>
      </c>
      <c r="U10" s="20"/>
      <c r="V10" s="20"/>
      <c r="X10" s="2" t="s">
        <v>45</v>
      </c>
      <c r="Y10" s="2">
        <v>987</v>
      </c>
      <c r="Z10" s="3">
        <v>1234</v>
      </c>
      <c r="AA10" s="2">
        <v>197</v>
      </c>
      <c r="AB10" s="2" t="s">
        <v>6</v>
      </c>
    </row>
    <row r="11" spans="1:28" x14ac:dyDescent="0.25">
      <c r="A11" s="2" t="s">
        <v>16</v>
      </c>
      <c r="B11" s="2">
        <v>135</v>
      </c>
      <c r="C11" s="3">
        <v>169</v>
      </c>
      <c r="D11" s="2">
        <v>27</v>
      </c>
      <c r="E11" s="2" t="s">
        <v>8</v>
      </c>
      <c r="F11" s="20"/>
      <c r="H11" s="2" t="s">
        <v>26</v>
      </c>
      <c r="I11" s="2">
        <v>530</v>
      </c>
      <c r="J11" s="3">
        <v>663</v>
      </c>
      <c r="K11" s="2">
        <v>106</v>
      </c>
      <c r="L11" s="2" t="s">
        <v>8</v>
      </c>
      <c r="P11" s="2" t="s">
        <v>36</v>
      </c>
      <c r="Q11" s="2">
        <v>565</v>
      </c>
      <c r="R11" s="3">
        <v>706</v>
      </c>
      <c r="S11" s="2">
        <v>113</v>
      </c>
      <c r="T11" s="2" t="s">
        <v>6</v>
      </c>
      <c r="U11" s="20"/>
      <c r="V11" s="20"/>
      <c r="X11" s="2" t="s">
        <v>46</v>
      </c>
      <c r="Y11" s="2">
        <v>602</v>
      </c>
      <c r="Z11" s="3">
        <v>753</v>
      </c>
      <c r="AA11" s="2">
        <v>120</v>
      </c>
      <c r="AB11" s="2" t="s">
        <v>6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429899-1B90-46EB-AE3E-303EF4910422}">
  <sheetPr codeName="Planilha2"/>
  <dimension ref="A1:P8"/>
  <sheetViews>
    <sheetView showGridLines="0" zoomScale="70" zoomScaleNormal="70" workbookViewId="0">
      <selection sqref="A1:D1"/>
    </sheetView>
  </sheetViews>
  <sheetFormatPr defaultRowHeight="15" x14ac:dyDescent="0.25"/>
  <cols>
    <col min="1" max="5" width="14.5703125" customWidth="1"/>
    <col min="6" max="6" width="12.7109375" customWidth="1"/>
    <col min="7" max="11" width="14.5703125" customWidth="1"/>
    <col min="13" max="16" width="14.5703125" customWidth="1"/>
  </cols>
  <sheetData>
    <row r="1" spans="1:16" ht="15.75" thickBot="1" x14ac:dyDescent="0.3">
      <c r="A1" s="33" t="s">
        <v>68</v>
      </c>
      <c r="B1" s="33"/>
      <c r="C1" s="33"/>
      <c r="D1" s="33"/>
      <c r="E1" s="32"/>
      <c r="G1" s="33" t="s">
        <v>69</v>
      </c>
      <c r="H1" s="33"/>
      <c r="I1" s="33"/>
      <c r="J1" s="33"/>
      <c r="K1" s="32"/>
      <c r="M1" s="33" t="s">
        <v>70</v>
      </c>
      <c r="N1" s="33"/>
      <c r="O1" s="33"/>
      <c r="P1" s="33"/>
    </row>
    <row r="2" spans="1:16" x14ac:dyDescent="0.25">
      <c r="A2" s="7" t="s">
        <v>51</v>
      </c>
      <c r="B2" s="8" t="s">
        <v>52</v>
      </c>
      <c r="C2" s="8" t="s">
        <v>53</v>
      </c>
      <c r="D2" s="9" t="s">
        <v>54</v>
      </c>
      <c r="G2" s="7" t="s">
        <v>51</v>
      </c>
      <c r="H2" s="8" t="s">
        <v>52</v>
      </c>
      <c r="I2" s="8" t="s">
        <v>53</v>
      </c>
      <c r="J2" s="9" t="s">
        <v>54</v>
      </c>
      <c r="M2" s="7" t="s">
        <v>51</v>
      </c>
      <c r="N2" s="8" t="s">
        <v>52</v>
      </c>
      <c r="O2" s="8" t="s">
        <v>53</v>
      </c>
      <c r="P2" s="9" t="s">
        <v>54</v>
      </c>
    </row>
    <row r="3" spans="1:16" x14ac:dyDescent="0.25">
      <c r="A3" s="10">
        <v>42009</v>
      </c>
      <c r="B3" s="11" t="s">
        <v>55</v>
      </c>
      <c r="C3" s="11" t="s">
        <v>56</v>
      </c>
      <c r="D3" s="12">
        <v>638894</v>
      </c>
      <c r="F3" s="21"/>
      <c r="G3" s="10">
        <v>42037</v>
      </c>
      <c r="H3" s="11" t="s">
        <v>55</v>
      </c>
      <c r="I3" s="11" t="s">
        <v>56</v>
      </c>
      <c r="J3" s="12">
        <v>588169</v>
      </c>
      <c r="M3" s="10">
        <v>42064</v>
      </c>
      <c r="N3" s="11" t="s">
        <v>55</v>
      </c>
      <c r="O3" s="11" t="s">
        <v>56</v>
      </c>
      <c r="P3" s="12">
        <v>504622</v>
      </c>
    </row>
    <row r="4" spans="1:16" x14ac:dyDescent="0.25">
      <c r="A4" s="10">
        <v>42011</v>
      </c>
      <c r="B4" s="11" t="s">
        <v>57</v>
      </c>
      <c r="C4" s="11" t="s">
        <v>58</v>
      </c>
      <c r="D4" s="12">
        <v>495728</v>
      </c>
      <c r="G4" s="10">
        <v>42040</v>
      </c>
      <c r="H4" s="11" t="s">
        <v>57</v>
      </c>
      <c r="I4" s="11" t="s">
        <v>58</v>
      </c>
      <c r="J4" s="12">
        <v>531546</v>
      </c>
      <c r="M4" s="10">
        <v>42067</v>
      </c>
      <c r="N4" s="11" t="s">
        <v>57</v>
      </c>
      <c r="O4" s="11" t="s">
        <v>58</v>
      </c>
      <c r="P4" s="12">
        <v>637802</v>
      </c>
    </row>
    <row r="5" spans="1:16" x14ac:dyDescent="0.25">
      <c r="A5" s="10">
        <v>42012</v>
      </c>
      <c r="B5" s="11" t="s">
        <v>59</v>
      </c>
      <c r="C5" s="11" t="s">
        <v>58</v>
      </c>
      <c r="D5" s="12">
        <v>735907</v>
      </c>
      <c r="G5" s="10">
        <v>42052</v>
      </c>
      <c r="H5" s="11" t="s">
        <v>59</v>
      </c>
      <c r="I5" s="11" t="s">
        <v>58</v>
      </c>
      <c r="J5" s="12">
        <v>588785</v>
      </c>
      <c r="M5" s="10">
        <v>42068</v>
      </c>
      <c r="N5" s="11" t="s">
        <v>59</v>
      </c>
      <c r="O5" s="11" t="s">
        <v>58</v>
      </c>
      <c r="P5" s="12">
        <v>463551</v>
      </c>
    </row>
    <row r="6" spans="1:16" x14ac:dyDescent="0.25">
      <c r="A6" s="10">
        <v>42012</v>
      </c>
      <c r="B6" s="11" t="s">
        <v>60</v>
      </c>
      <c r="C6" s="11" t="s">
        <v>58</v>
      </c>
      <c r="D6" s="12">
        <v>726195</v>
      </c>
      <c r="G6" s="10">
        <v>42055</v>
      </c>
      <c r="H6" s="11" t="s">
        <v>60</v>
      </c>
      <c r="I6" s="11" t="s">
        <v>58</v>
      </c>
      <c r="J6" s="12">
        <v>449306</v>
      </c>
      <c r="M6" s="10">
        <v>42069</v>
      </c>
      <c r="N6" s="11" t="s">
        <v>60</v>
      </c>
      <c r="O6" s="11" t="s">
        <v>58</v>
      </c>
      <c r="P6" s="12">
        <v>554354</v>
      </c>
    </row>
    <row r="7" spans="1:16" x14ac:dyDescent="0.25">
      <c r="A7" s="10">
        <v>42014</v>
      </c>
      <c r="B7" s="11" t="s">
        <v>55</v>
      </c>
      <c r="C7" s="11" t="s">
        <v>58</v>
      </c>
      <c r="D7" s="12">
        <v>606957</v>
      </c>
      <c r="G7" s="10">
        <v>42057</v>
      </c>
      <c r="H7" s="11" t="s">
        <v>55</v>
      </c>
      <c r="I7" s="11" t="s">
        <v>58</v>
      </c>
      <c r="J7" s="12">
        <v>588246</v>
      </c>
      <c r="M7" s="10">
        <v>42070</v>
      </c>
      <c r="N7" s="11" t="s">
        <v>55</v>
      </c>
      <c r="O7" s="11" t="s">
        <v>58</v>
      </c>
      <c r="P7" s="12">
        <v>531392</v>
      </c>
    </row>
    <row r="8" spans="1:16" ht="15.75" thickBot="1" x14ac:dyDescent="0.3">
      <c r="A8" s="13">
        <v>42015</v>
      </c>
      <c r="B8" s="14" t="s">
        <v>59</v>
      </c>
      <c r="C8" s="14" t="s">
        <v>58</v>
      </c>
      <c r="D8" s="15">
        <v>603465</v>
      </c>
      <c r="G8" s="13">
        <v>42058</v>
      </c>
      <c r="H8" s="14" t="s">
        <v>59</v>
      </c>
      <c r="I8" s="14" t="s">
        <v>58</v>
      </c>
      <c r="J8" s="15">
        <v>621544</v>
      </c>
      <c r="M8" s="13">
        <v>42073</v>
      </c>
      <c r="N8" s="14" t="s">
        <v>59</v>
      </c>
      <c r="O8" s="14" t="s">
        <v>58</v>
      </c>
      <c r="P8" s="15">
        <v>545971</v>
      </c>
    </row>
  </sheetData>
  <mergeCells count="3">
    <mergeCell ref="A1:D1"/>
    <mergeCell ref="G1:J1"/>
    <mergeCell ref="M1:P1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B6"/>
  <sheetViews>
    <sheetView showGridLines="0" workbookViewId="0"/>
  </sheetViews>
  <sheetFormatPr defaultRowHeight="15" x14ac:dyDescent="0.25"/>
  <cols>
    <col min="1" max="1" width="14.140625" bestFit="1" customWidth="1"/>
    <col min="2" max="2" width="8.42578125" bestFit="1" customWidth="1"/>
  </cols>
  <sheetData>
    <row r="1" spans="1:2" x14ac:dyDescent="0.25">
      <c r="A1" s="4" t="s">
        <v>47</v>
      </c>
      <c r="B1" s="4" t="s">
        <v>48</v>
      </c>
    </row>
    <row r="2" spans="1:2" x14ac:dyDescent="0.25">
      <c r="A2" s="5" t="s">
        <v>73</v>
      </c>
      <c r="B2" s="6">
        <v>1600</v>
      </c>
    </row>
    <row r="3" spans="1:2" x14ac:dyDescent="0.25">
      <c r="A3" s="5" t="s">
        <v>72</v>
      </c>
      <c r="B3" s="6">
        <v>9320</v>
      </c>
    </row>
    <row r="4" spans="1:2" x14ac:dyDescent="0.25">
      <c r="A4" s="5" t="s">
        <v>50</v>
      </c>
      <c r="B4" s="6">
        <v>3000</v>
      </c>
    </row>
    <row r="5" spans="1:2" x14ac:dyDescent="0.25">
      <c r="A5" s="5" t="s">
        <v>49</v>
      </c>
      <c r="B5" s="6">
        <v>4650</v>
      </c>
    </row>
    <row r="6" spans="1:2" x14ac:dyDescent="0.25">
      <c r="A6" s="5" t="s">
        <v>71</v>
      </c>
      <c r="B6" s="6">
        <v>8100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06ED71-55B3-424B-83F9-E7B1A2AC9761}">
  <sheetPr codeName="Planilha3"/>
  <dimension ref="A1:C5"/>
  <sheetViews>
    <sheetView showGridLines="0" workbookViewId="0">
      <selection activeCell="D19" sqref="D19"/>
    </sheetView>
  </sheetViews>
  <sheetFormatPr defaultRowHeight="15" x14ac:dyDescent="0.25"/>
  <cols>
    <col min="1" max="1" width="8" bestFit="1" customWidth="1"/>
    <col min="2" max="2" width="17.85546875" bestFit="1" customWidth="1"/>
    <col min="3" max="3" width="9.140625" customWidth="1"/>
  </cols>
  <sheetData>
    <row r="1" spans="1:3" x14ac:dyDescent="0.25">
      <c r="A1" s="18" t="s">
        <v>0</v>
      </c>
      <c r="B1" s="18" t="s">
        <v>61</v>
      </c>
      <c r="C1" s="18" t="s">
        <v>63</v>
      </c>
    </row>
    <row r="2" spans="1:3" x14ac:dyDescent="0.25">
      <c r="A2" s="16" t="s">
        <v>5</v>
      </c>
      <c r="B2" s="16" t="s">
        <v>75</v>
      </c>
      <c r="C2" s="17">
        <v>4711</v>
      </c>
    </row>
    <row r="3" spans="1:3" x14ac:dyDescent="0.25">
      <c r="A3" s="16" t="s">
        <v>7</v>
      </c>
      <c r="B3" s="16" t="s">
        <v>74</v>
      </c>
      <c r="C3" s="17">
        <v>3585</v>
      </c>
    </row>
    <row r="4" spans="1:3" x14ac:dyDescent="0.25">
      <c r="A4" s="16" t="s">
        <v>9</v>
      </c>
      <c r="B4" s="16" t="s">
        <v>76</v>
      </c>
      <c r="C4" s="17">
        <v>2160</v>
      </c>
    </row>
    <row r="5" spans="1:3" x14ac:dyDescent="0.25">
      <c r="A5" s="16" t="s">
        <v>10</v>
      </c>
      <c r="B5" s="16" t="s">
        <v>77</v>
      </c>
      <c r="C5" s="17">
        <v>4121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5C04C1-6753-407D-AD21-6F18D65829D9}">
  <sheetPr codeName="Planilha5"/>
  <dimension ref="B1:P9"/>
  <sheetViews>
    <sheetView showGridLines="0" zoomScale="70" zoomScaleNormal="70" workbookViewId="0"/>
  </sheetViews>
  <sheetFormatPr defaultRowHeight="15" x14ac:dyDescent="0.25"/>
  <cols>
    <col min="1" max="1" width="1.5703125" customWidth="1"/>
    <col min="2" max="2" width="19.140625" customWidth="1"/>
    <col min="3" max="4" width="20.85546875" customWidth="1"/>
    <col min="5" max="5" width="14" customWidth="1"/>
    <col min="7" max="8" width="18.140625" customWidth="1"/>
    <col min="9" max="9" width="19.7109375" customWidth="1"/>
    <col min="10" max="13" width="17.28515625" customWidth="1"/>
    <col min="14" max="14" width="16.140625" customWidth="1"/>
    <col min="15" max="16" width="17.42578125" customWidth="1"/>
  </cols>
  <sheetData>
    <row r="1" spans="2:16" s="27" customFormat="1" ht="5.0999999999999996" customHeight="1" x14ac:dyDescent="0.25"/>
    <row r="2" spans="2:16" x14ac:dyDescent="0.25">
      <c r="B2" s="22">
        <v>42005</v>
      </c>
      <c r="C2" s="23"/>
      <c r="D2" s="23"/>
      <c r="E2" s="23"/>
      <c r="F2" s="23"/>
      <c r="G2" s="22">
        <v>42036</v>
      </c>
      <c r="H2" s="23"/>
      <c r="I2" s="23"/>
      <c r="J2" s="23"/>
      <c r="K2" s="22">
        <v>42064</v>
      </c>
      <c r="L2" s="23"/>
      <c r="M2" s="23"/>
      <c r="N2" s="23"/>
      <c r="O2" s="22">
        <v>42095</v>
      </c>
      <c r="P2" s="23"/>
    </row>
    <row r="3" spans="2:16" x14ac:dyDescent="0.25">
      <c r="B3" s="24" t="s">
        <v>78</v>
      </c>
      <c r="C3" s="25" t="s">
        <v>79</v>
      </c>
      <c r="G3" s="24" t="s">
        <v>78</v>
      </c>
      <c r="H3" s="25" t="s">
        <v>79</v>
      </c>
      <c r="K3" s="24" t="s">
        <v>78</v>
      </c>
      <c r="L3" s="25" t="s">
        <v>79</v>
      </c>
      <c r="O3" s="24" t="s">
        <v>78</v>
      </c>
      <c r="P3" s="25" t="s">
        <v>79</v>
      </c>
    </row>
    <row r="4" spans="2:16" x14ac:dyDescent="0.25">
      <c r="B4" s="2" t="s">
        <v>80</v>
      </c>
      <c r="C4" s="26">
        <v>1338</v>
      </c>
      <c r="D4" s="28"/>
      <c r="E4" s="28"/>
      <c r="G4" s="2" t="s">
        <v>80</v>
      </c>
      <c r="H4" s="26">
        <v>944</v>
      </c>
      <c r="I4" s="28"/>
      <c r="K4" s="2" t="s">
        <v>80</v>
      </c>
      <c r="L4" s="26">
        <v>1139</v>
      </c>
      <c r="M4" s="28"/>
      <c r="O4" s="2" t="s">
        <v>80</v>
      </c>
      <c r="P4" s="26">
        <v>1055</v>
      </c>
    </row>
    <row r="5" spans="2:16" x14ac:dyDescent="0.25">
      <c r="B5" s="2" t="s">
        <v>81</v>
      </c>
      <c r="C5" s="26">
        <v>864</v>
      </c>
      <c r="D5" s="28"/>
      <c r="E5" s="28"/>
      <c r="G5" s="2" t="s">
        <v>81</v>
      </c>
      <c r="H5" s="26">
        <v>1331</v>
      </c>
      <c r="I5" s="28"/>
      <c r="K5" s="2" t="s">
        <v>81</v>
      </c>
      <c r="L5" s="26">
        <v>815</v>
      </c>
      <c r="M5" s="28"/>
      <c r="O5" s="2" t="s">
        <v>81</v>
      </c>
      <c r="P5" s="26">
        <v>1117</v>
      </c>
    </row>
    <row r="6" spans="2:16" x14ac:dyDescent="0.25">
      <c r="B6" s="2" t="s">
        <v>82</v>
      </c>
      <c r="C6" s="26">
        <v>1288</v>
      </c>
      <c r="D6" s="28"/>
      <c r="E6" s="28"/>
      <c r="G6" s="2" t="s">
        <v>82</v>
      </c>
      <c r="H6" s="26">
        <v>1222</v>
      </c>
      <c r="I6" s="28"/>
      <c r="K6" s="2" t="s">
        <v>82</v>
      </c>
      <c r="L6" s="26">
        <v>962</v>
      </c>
      <c r="M6" s="28"/>
      <c r="O6" s="2" t="s">
        <v>82</v>
      </c>
      <c r="P6" s="26">
        <v>1279</v>
      </c>
    </row>
    <row r="7" spans="2:16" x14ac:dyDescent="0.25">
      <c r="B7" s="2" t="s">
        <v>83</v>
      </c>
      <c r="C7" s="26">
        <v>1180</v>
      </c>
      <c r="D7" s="28"/>
      <c r="E7" s="28"/>
      <c r="G7" s="2" t="s">
        <v>83</v>
      </c>
      <c r="H7" s="26">
        <v>969</v>
      </c>
      <c r="I7" s="28"/>
      <c r="K7" s="2" t="s">
        <v>83</v>
      </c>
      <c r="L7" s="26">
        <v>917</v>
      </c>
      <c r="M7" s="28"/>
      <c r="O7" s="2" t="s">
        <v>83</v>
      </c>
      <c r="P7" s="26">
        <v>1035</v>
      </c>
    </row>
    <row r="8" spans="2:16" x14ac:dyDescent="0.25">
      <c r="B8" s="2" t="s">
        <v>84</v>
      </c>
      <c r="C8" s="26">
        <v>1362</v>
      </c>
      <c r="D8" s="28"/>
      <c r="E8" s="28"/>
      <c r="G8" s="2" t="s">
        <v>84</v>
      </c>
      <c r="H8" s="26">
        <v>1367</v>
      </c>
      <c r="I8" s="28"/>
      <c r="K8" s="2" t="s">
        <v>84</v>
      </c>
      <c r="L8" s="26">
        <v>1254</v>
      </c>
      <c r="M8" s="28"/>
      <c r="O8" s="2" t="s">
        <v>84</v>
      </c>
      <c r="P8" s="26">
        <v>877</v>
      </c>
    </row>
    <row r="9" spans="2:16" x14ac:dyDescent="0.25">
      <c r="B9" s="2" t="s">
        <v>85</v>
      </c>
      <c r="C9" s="26">
        <v>1198</v>
      </c>
      <c r="D9" s="28"/>
      <c r="E9" s="28"/>
      <c r="G9" s="2" t="s">
        <v>85</v>
      </c>
      <c r="H9" s="26">
        <v>1178</v>
      </c>
      <c r="I9" s="28"/>
      <c r="K9" s="2" t="s">
        <v>85</v>
      </c>
      <c r="L9" s="26">
        <v>1251</v>
      </c>
      <c r="M9" s="28"/>
      <c r="O9" s="2" t="s">
        <v>85</v>
      </c>
      <c r="P9" s="26">
        <v>1286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E54A44-24D1-4BE4-821E-965B043745CF}">
  <sheetPr codeName="Planilha6"/>
  <dimension ref="A1:B5"/>
  <sheetViews>
    <sheetView showGridLines="0" zoomScaleNormal="100" workbookViewId="0"/>
  </sheetViews>
  <sheetFormatPr defaultRowHeight="15" x14ac:dyDescent="0.25"/>
  <cols>
    <col min="1" max="1" width="12.42578125" customWidth="1"/>
    <col min="2" max="2" width="13.42578125" bestFit="1" customWidth="1"/>
  </cols>
  <sheetData>
    <row r="1" spans="1:2" s="19" customFormat="1" x14ac:dyDescent="0.25">
      <c r="A1" s="29" t="s">
        <v>62</v>
      </c>
      <c r="B1" s="29" t="s">
        <v>64</v>
      </c>
    </row>
    <row r="2" spans="1:2" x14ac:dyDescent="0.25">
      <c r="A2" s="30" t="s">
        <v>65</v>
      </c>
      <c r="B2" s="31">
        <v>25200</v>
      </c>
    </row>
    <row r="3" spans="1:2" x14ac:dyDescent="0.25">
      <c r="A3" s="30" t="s">
        <v>66</v>
      </c>
      <c r="B3" s="31">
        <v>23450</v>
      </c>
    </row>
    <row r="4" spans="1:2" x14ac:dyDescent="0.25">
      <c r="A4" s="30" t="s">
        <v>67</v>
      </c>
      <c r="B4" s="31">
        <v>35870</v>
      </c>
    </row>
    <row r="5" spans="1:2" x14ac:dyDescent="0.25">
      <c r="A5" s="30" t="s">
        <v>86</v>
      </c>
      <c r="B5" s="31">
        <v>34830</v>
      </c>
    </row>
  </sheetData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Base Vendas</vt:lpstr>
      <vt:lpstr>Controle Extrações</vt:lpstr>
      <vt:lpstr>Base Funcionários</vt:lpstr>
      <vt:lpstr>Planilha Vendas</vt:lpstr>
      <vt:lpstr>Análise</vt:lpstr>
      <vt:lpstr>SKUs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Alon Pinheiro</dc:creator>
  <cp:lastModifiedBy>Jorge Harbes</cp:lastModifiedBy>
  <dcterms:created xsi:type="dcterms:W3CDTF">2015-06-05T18:17:20Z</dcterms:created>
  <dcterms:modified xsi:type="dcterms:W3CDTF">2023-10-11T13:59:11Z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caabacf-b917-4a45-9a5f-ed3a53d2eeb7_Enabled">
    <vt:lpwstr>true</vt:lpwstr>
  </property>
  <property fmtid="{D5CDD505-2E9C-101B-9397-08002B2CF9AE}" pid="3" name="MSIP_Label_8caabacf-b917-4a45-9a5f-ed3a53d2eeb7_SetDate">
    <vt:lpwstr>2023-10-11T13:53:42Z</vt:lpwstr>
  </property>
  <property fmtid="{D5CDD505-2E9C-101B-9397-08002B2CF9AE}" pid="4" name="MSIP_Label_8caabacf-b917-4a45-9a5f-ed3a53d2eeb7_Method">
    <vt:lpwstr>Standard</vt:lpwstr>
  </property>
  <property fmtid="{D5CDD505-2E9C-101B-9397-08002B2CF9AE}" pid="5" name="MSIP_Label_8caabacf-b917-4a45-9a5f-ed3a53d2eeb7_Name">
    <vt:lpwstr>Anyone - No Protection</vt:lpwstr>
  </property>
  <property fmtid="{D5CDD505-2E9C-101B-9397-08002B2CF9AE}" pid="6" name="MSIP_Label_8caabacf-b917-4a45-9a5f-ed3a53d2eeb7_SiteId">
    <vt:lpwstr>0804c951-93a0-405d-80e4-fa87c7551d6a</vt:lpwstr>
  </property>
  <property fmtid="{D5CDD505-2E9C-101B-9397-08002B2CF9AE}" pid="7" name="MSIP_Label_8caabacf-b917-4a45-9a5f-ed3a53d2eeb7_ActionId">
    <vt:lpwstr>80e404e0-9379-4a85-871e-e088ad3e2d48</vt:lpwstr>
  </property>
  <property fmtid="{D5CDD505-2E9C-101B-9397-08002B2CF9AE}" pid="8" name="MSIP_Label_8caabacf-b917-4a45-9a5f-ed3a53d2eeb7_ContentBits">
    <vt:lpwstr>0</vt:lpwstr>
  </property>
</Properties>
</file>